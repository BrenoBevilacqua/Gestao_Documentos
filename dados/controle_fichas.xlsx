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ortec\Documents\"/>
    </mc:Choice>
  </mc:AlternateContent>
  <xr:revisionPtr revIDLastSave="0" documentId="13_ncr:1_{EE3C564A-8348-454C-A824-C9662F96929D}" xr6:coauthVersionLast="47" xr6:coauthVersionMax="47" xr10:uidLastSave="{00000000-0000-0000-0000-000000000000}"/>
  <bookViews>
    <workbookView xWindow="-108" yWindow="-108" windowWidth="16608" windowHeight="8832" tabRatio="500" xr2:uid="{00000000-000D-0000-FFFF-FFFF00000000}"/>
  </bookViews>
  <sheets>
    <sheet name="Controle" sheetId="1" r:id="rId1"/>
    <sheet name="Painel" sheetId="2" r:id="rId2"/>
    <sheet name="Instruções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2" l="1"/>
  <c r="I50" i="1"/>
  <c r="G50" i="1"/>
  <c r="A50" i="1"/>
  <c r="I49" i="1"/>
  <c r="G49" i="1"/>
  <c r="A49" i="1"/>
  <c r="I48" i="1"/>
  <c r="G48" i="1"/>
  <c r="A48" i="1"/>
  <c r="I47" i="1"/>
  <c r="G47" i="1"/>
  <c r="A47" i="1"/>
  <c r="I46" i="1"/>
  <c r="G46" i="1"/>
  <c r="A46" i="1"/>
  <c r="I45" i="1"/>
  <c r="G45" i="1"/>
  <c r="A45" i="1"/>
  <c r="I44" i="1"/>
  <c r="G44" i="1"/>
  <c r="A44" i="1"/>
  <c r="I43" i="1"/>
  <c r="G43" i="1"/>
  <c r="A43" i="1"/>
  <c r="I42" i="1"/>
  <c r="G42" i="1"/>
  <c r="A42" i="1"/>
  <c r="I41" i="1"/>
  <c r="G41" i="1"/>
  <c r="A41" i="1"/>
  <c r="I40" i="1"/>
  <c r="G40" i="1"/>
  <c r="A40" i="1"/>
  <c r="I39" i="1"/>
  <c r="G39" i="1"/>
  <c r="A39" i="1"/>
  <c r="I38" i="1"/>
  <c r="G38" i="1"/>
  <c r="A38" i="1"/>
  <c r="I37" i="1"/>
  <c r="G37" i="1"/>
  <c r="A37" i="1"/>
  <c r="I36" i="1"/>
  <c r="G36" i="1"/>
  <c r="A36" i="1"/>
  <c r="I35" i="1"/>
  <c r="G35" i="1"/>
  <c r="A35" i="1"/>
  <c r="I34" i="1"/>
  <c r="G34" i="1"/>
  <c r="A34" i="1"/>
  <c r="I33" i="1"/>
  <c r="G33" i="1"/>
  <c r="A33" i="1"/>
  <c r="I32" i="1"/>
  <c r="G32" i="1"/>
  <c r="A32" i="1"/>
  <c r="I31" i="1"/>
  <c r="G31" i="1"/>
  <c r="A31" i="1"/>
  <c r="I30" i="1"/>
  <c r="G30" i="1"/>
  <c r="A30" i="1"/>
  <c r="I29" i="1"/>
  <c r="G29" i="1"/>
  <c r="A29" i="1"/>
  <c r="I28" i="1"/>
  <c r="G28" i="1"/>
  <c r="A28" i="1"/>
  <c r="I27" i="1"/>
  <c r="G27" i="1"/>
  <c r="A27" i="1"/>
  <c r="I26" i="1"/>
  <c r="G26" i="1"/>
  <c r="A26" i="1"/>
  <c r="I25" i="1"/>
  <c r="G25" i="1"/>
  <c r="A25" i="1"/>
  <c r="I24" i="1"/>
  <c r="G24" i="1"/>
  <c r="A24" i="1"/>
  <c r="I23" i="1"/>
  <c r="G23" i="1"/>
  <c r="A23" i="1"/>
  <c r="I22" i="1"/>
  <c r="G22" i="1"/>
  <c r="A22" i="1"/>
  <c r="I21" i="1"/>
  <c r="G21" i="1"/>
  <c r="A21" i="1"/>
  <c r="I20" i="1"/>
  <c r="G20" i="1"/>
  <c r="A20" i="1"/>
  <c r="I19" i="1"/>
  <c r="G19" i="1"/>
  <c r="A19" i="1"/>
  <c r="I18" i="1"/>
  <c r="G18" i="1"/>
  <c r="A18" i="1"/>
  <c r="I17" i="1"/>
  <c r="G17" i="1"/>
  <c r="A17" i="1"/>
  <c r="I16" i="1"/>
  <c r="G16" i="1"/>
  <c r="A16" i="1"/>
  <c r="I15" i="1"/>
  <c r="G15" i="1"/>
  <c r="A15" i="1"/>
  <c r="I14" i="1"/>
  <c r="G14" i="1"/>
  <c r="A14" i="1"/>
  <c r="I13" i="1"/>
  <c r="G13" i="1"/>
  <c r="A13" i="1"/>
  <c r="I12" i="1"/>
  <c r="G12" i="1"/>
  <c r="A12" i="1"/>
  <c r="I11" i="1"/>
  <c r="G11" i="1"/>
  <c r="A11" i="1"/>
  <c r="I10" i="1"/>
  <c r="G10" i="1"/>
  <c r="A10" i="1"/>
  <c r="I9" i="1"/>
  <c r="G9" i="1"/>
  <c r="A9" i="1"/>
  <c r="I8" i="1"/>
  <c r="G8" i="1"/>
  <c r="A8" i="1"/>
  <c r="I7" i="1"/>
  <c r="A7" i="1"/>
  <c r="I6" i="1"/>
  <c r="I5" i="1"/>
  <c r="B6" i="2" s="1"/>
  <c r="B4" i="2" l="1"/>
  <c r="B5" i="2"/>
</calcChain>
</file>

<file path=xl/sharedStrings.xml><?xml version="1.0" encoding="utf-8"?>
<sst xmlns="http://schemas.openxmlformats.org/spreadsheetml/2006/main" count="44" uniqueCount="44">
  <si>
    <t>CADERNO DE CORRESPONDÊNCIA DIGITAL — CONTROLE DE FICHAS DO ACERVO</t>
  </si>
  <si>
    <t>Nº</t>
  </si>
  <si>
    <t>Nº da Caixa</t>
  </si>
  <si>
    <t>Nome do Servidor</t>
  </si>
  <si>
    <t>Matrícula</t>
  </si>
  <si>
    <t>Solicitante (RH)</t>
  </si>
  <si>
    <t>Data de Retirada</t>
  </si>
  <si>
    <t>Prazo de Devolução</t>
  </si>
  <si>
    <t>Data de Devolução</t>
  </si>
  <si>
    <t>Situação</t>
  </si>
  <si>
    <t>Observações</t>
  </si>
  <si>
    <t>PAINEL RESUMO</t>
  </si>
  <si>
    <t>Total de fichas retiradas</t>
  </si>
  <si>
    <t>Fichas emprestadas (fora do acervo)</t>
  </si>
  <si>
    <t>Fichas devolvidas</t>
  </si>
  <si>
    <t>Fichas em atraso</t>
  </si>
  <si>
    <t>COMO USAR ESTE CADERNO</t>
  </si>
  <si>
    <t>1. Quando o RH solicitar a ficha de um servidor:</t>
  </si>
  <si>
    <t xml:space="preserve">   • Procure a ficha física no acervo.</t>
  </si>
  <si>
    <t xml:space="preserve">   • Vá até a aba 'Controle' e preencha uma nova linha:</t>
  </si>
  <si>
    <t xml:space="preserve">     - Nº da Caixa: número da caixa de onde a ficha foi retirada.</t>
  </si>
  <si>
    <t xml:space="preserve">     - Nome do Servidor e Matrícula (se houver).</t>
  </si>
  <si>
    <t xml:space="preserve">     - Solicitante (RH): quem do RH pediu.</t>
  </si>
  <si>
    <t xml:space="preserve">     - Data de Retirada: preencha com a data de hoje.</t>
  </si>
  <si>
    <t xml:space="preserve">   • O 'Prazo de Devolução' e a 'Situação' são calculados automaticamente.</t>
  </si>
  <si>
    <t>2. Quando a ficha for devolvida ao acervo:</t>
  </si>
  <si>
    <t xml:space="preserve">   • Volte na mesma linha da retirada.</t>
  </si>
  <si>
    <t xml:space="preserve">   • Preencha a 'Data de Devolução'.</t>
  </si>
  <si>
    <t xml:space="preserve">   • A coluna 'Situação' muda sozinha para 'Devolvido'.</t>
  </si>
  <si>
    <t>3. Cores da coluna Situação:</t>
  </si>
  <si>
    <t xml:space="preserve">   • Laranja claro = Emprestado (ainda fora do acervo, dentro do prazo).</t>
  </si>
  <si>
    <t xml:space="preserve">   • Verde = Devolvido.</t>
  </si>
  <si>
    <t xml:space="preserve">   • Vermelho = Atrasado (passou do prazo de devolução e não voltou).</t>
  </si>
  <si>
    <t>4. Aba 'Painel':</t>
  </si>
  <si>
    <t xml:space="preserve">   • Mostra o resumo automático: quantas fichas estão emprestadas, devolvidas e em atraso.</t>
  </si>
  <si>
    <t>5. Dicas:</t>
  </si>
  <si>
    <t xml:space="preserve">   • Nunca apague linhas antigas — isso é o histórico/protocolo de movimentação.</t>
  </si>
  <si>
    <t xml:space="preserve">   • Se precisar de mais linhas, copie o formato de uma linha em branco existente para baixo.</t>
  </si>
  <si>
    <t xml:space="preserve">   • O prazo padrão de devolução é 5 dias corridos após a retirada; altere a fórmula da coluna</t>
  </si>
  <si>
    <t xml:space="preserve">     'Prazo de Devolução' se o prazo do seu setor for diferente.</t>
  </si>
  <si>
    <r>
      <t>Controle de retirada e devolução de fichas de servidores solicitadas pelo RH (</t>
    </r>
    <r>
      <rPr>
        <b/>
        <i/>
        <sz val="10"/>
        <color rgb="FF595959"/>
        <rFont val="Arial"/>
        <family val="2"/>
      </rPr>
      <t>01/09/2026 em diante)</t>
    </r>
  </si>
  <si>
    <t>Jefferson</t>
  </si>
  <si>
    <t>Pedro</t>
  </si>
  <si>
    <t>24.08.2026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</si>
</sst>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6"/>
      <color rgb="FF1F4E78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3"/>
      <color rgb="FF1F4E78"/>
      <name val="Arial"/>
      <family val="2"/>
    </font>
    <font>
      <b/>
      <i/>
      <sz val="10"/>
      <color rgb="FF595959"/>
      <name val="Arial"/>
      <family val="2"/>
    </font>
    <font>
      <i/>
      <sz val="10"/>
      <color rgb="FF595959"/>
      <name val="Arial"/>
      <family val="2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DE9D9"/>
        <bgColor rgb="FFE2EFDA"/>
      </patternFill>
    </fill>
    <fill>
      <patternFill patternType="solid">
        <fgColor rgb="FFE2EFDA"/>
        <bgColor rgb="FFFDE9D9"/>
      </patternFill>
    </fill>
    <fill>
      <patternFill patternType="solid">
        <fgColor rgb="FFFF0000"/>
        <bgColor rgb="FFFDE9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14" fontId="4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FDE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DE9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showGridLines="0" tabSelected="1" zoomScaleNormal="100" workbookViewId="0">
      <pane ySplit="4" topLeftCell="A5" activePane="bottomLeft" state="frozen"/>
      <selection pane="bottomLeft" activeCell="B7" sqref="B7"/>
    </sheetView>
  </sheetViews>
  <sheetFormatPr defaultColWidth="8.6640625" defaultRowHeight="14.4" x14ac:dyDescent="0.3"/>
  <cols>
    <col min="1" max="1" width="6" style="19" customWidth="1"/>
    <col min="2" max="2" width="12" customWidth="1"/>
    <col min="3" max="3" width="26" style="19" customWidth="1"/>
    <col min="4" max="4" width="12" style="19" customWidth="1"/>
    <col min="5" max="5" width="20" style="19" customWidth="1"/>
    <col min="6" max="8" width="16" style="19" customWidth="1"/>
    <col min="9" max="9" width="14" customWidth="1"/>
    <col min="10" max="10" width="28" customWidth="1"/>
  </cols>
  <sheetData>
    <row r="1" spans="1:10" ht="19.649999999999999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ht="15" customHeight="1" x14ac:dyDescent="0.3">
      <c r="A2" s="17" t="s">
        <v>40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7.6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3">
      <c r="A5" s="2"/>
      <c r="B5" s="2">
        <v>1</v>
      </c>
      <c r="C5" s="2" t="s">
        <v>41</v>
      </c>
      <c r="D5" s="2">
        <v>1</v>
      </c>
      <c r="E5" s="2" t="s">
        <v>42</v>
      </c>
      <c r="F5" s="4" t="s">
        <v>43</v>
      </c>
      <c r="G5" s="4"/>
      <c r="H5" s="4"/>
      <c r="I5" s="2" t="str">
        <f t="shared" ref="I5:I50" ca="1" si="0">IF(F5="","",IF(H5&lt;&gt;"","Devolvido",IF(AND(G5&lt;&gt;"",TODAY()&gt;G5),"Atrasado","Emprestado")))</f>
        <v>Emprestado</v>
      </c>
      <c r="J5" s="3"/>
    </row>
    <row r="6" spans="1:10" x14ac:dyDescent="0.3">
      <c r="B6" s="2"/>
      <c r="C6" s="2"/>
      <c r="D6" s="2"/>
      <c r="E6" s="2"/>
      <c r="F6" s="4"/>
      <c r="G6" s="4"/>
      <c r="H6" s="4"/>
      <c r="I6" s="2" t="str">
        <f t="shared" ca="1" si="0"/>
        <v/>
      </c>
      <c r="J6" s="3"/>
    </row>
    <row r="7" spans="1:10" x14ac:dyDescent="0.3">
      <c r="A7" s="19" t="str">
        <f t="shared" ref="A7:A50" si="1">IF(C7="","",ROW()-4)</f>
        <v/>
      </c>
      <c r="B7" s="2"/>
      <c r="C7" s="2"/>
      <c r="D7" s="2"/>
      <c r="E7" s="2"/>
      <c r="F7" s="4"/>
      <c r="G7" s="4"/>
      <c r="H7" s="4"/>
      <c r="I7" s="2" t="str">
        <f t="shared" ca="1" si="0"/>
        <v/>
      </c>
      <c r="J7" s="3"/>
    </row>
    <row r="8" spans="1:10" x14ac:dyDescent="0.3">
      <c r="A8" s="19" t="str">
        <f t="shared" si="1"/>
        <v/>
      </c>
      <c r="B8" s="2"/>
      <c r="C8" s="2"/>
      <c r="D8" s="2"/>
      <c r="E8" s="2"/>
      <c r="F8" s="4"/>
      <c r="G8" s="4" t="str">
        <f t="shared" ref="G8:G50" si="2">IF(F8="","",F8+5)</f>
        <v/>
      </c>
      <c r="H8" s="4"/>
      <c r="I8" s="2" t="str">
        <f t="shared" ca="1" si="0"/>
        <v/>
      </c>
      <c r="J8" s="3"/>
    </row>
    <row r="9" spans="1:10" x14ac:dyDescent="0.3">
      <c r="A9" s="19" t="str">
        <f t="shared" si="1"/>
        <v/>
      </c>
      <c r="B9" s="2"/>
      <c r="C9" s="2"/>
      <c r="D9" s="2"/>
      <c r="E9" s="2"/>
      <c r="F9" s="4"/>
      <c r="G9" s="4" t="str">
        <f t="shared" si="2"/>
        <v/>
      </c>
      <c r="H9" s="4"/>
      <c r="I9" s="2" t="str">
        <f t="shared" ca="1" si="0"/>
        <v/>
      </c>
      <c r="J9" s="3"/>
    </row>
    <row r="10" spans="1:10" x14ac:dyDescent="0.3">
      <c r="A10" s="19" t="str">
        <f t="shared" si="1"/>
        <v/>
      </c>
      <c r="B10" s="2"/>
      <c r="C10" s="2"/>
      <c r="D10" s="2"/>
      <c r="E10" s="2"/>
      <c r="F10" s="4"/>
      <c r="G10" s="4" t="str">
        <f t="shared" si="2"/>
        <v/>
      </c>
      <c r="H10" s="4"/>
      <c r="I10" s="2" t="str">
        <f t="shared" ca="1" si="0"/>
        <v/>
      </c>
      <c r="J10" s="3"/>
    </row>
    <row r="11" spans="1:10" x14ac:dyDescent="0.3">
      <c r="A11" s="19" t="str">
        <f t="shared" si="1"/>
        <v/>
      </c>
      <c r="B11" s="2"/>
      <c r="C11" s="2"/>
      <c r="D11" s="2"/>
      <c r="E11" s="2"/>
      <c r="F11" s="4"/>
      <c r="G11" s="4" t="str">
        <f t="shared" si="2"/>
        <v/>
      </c>
      <c r="H11" s="4"/>
      <c r="I11" s="2" t="str">
        <f t="shared" ca="1" si="0"/>
        <v/>
      </c>
      <c r="J11" s="3"/>
    </row>
    <row r="12" spans="1:10" x14ac:dyDescent="0.3">
      <c r="A12" s="19" t="str">
        <f t="shared" si="1"/>
        <v/>
      </c>
      <c r="B12" s="2"/>
      <c r="C12" s="2"/>
      <c r="D12" s="2"/>
      <c r="E12" s="2"/>
      <c r="F12" s="4"/>
      <c r="G12" s="4" t="str">
        <f t="shared" si="2"/>
        <v/>
      </c>
      <c r="H12" s="4"/>
      <c r="I12" s="2" t="str">
        <f t="shared" ca="1" si="0"/>
        <v/>
      </c>
      <c r="J12" s="3"/>
    </row>
    <row r="13" spans="1:10" x14ac:dyDescent="0.3">
      <c r="A13" s="19" t="str">
        <f t="shared" si="1"/>
        <v/>
      </c>
      <c r="B13" s="2"/>
      <c r="C13" s="2"/>
      <c r="D13" s="2"/>
      <c r="E13" s="2"/>
      <c r="F13" s="4"/>
      <c r="G13" s="4" t="str">
        <f t="shared" si="2"/>
        <v/>
      </c>
      <c r="H13" s="4"/>
      <c r="I13" s="2" t="str">
        <f t="shared" ca="1" si="0"/>
        <v/>
      </c>
      <c r="J13" s="3"/>
    </row>
    <row r="14" spans="1:10" x14ac:dyDescent="0.3">
      <c r="A14" s="19" t="str">
        <f t="shared" si="1"/>
        <v/>
      </c>
      <c r="B14" s="2"/>
      <c r="C14" s="2"/>
      <c r="D14" s="2"/>
      <c r="E14" s="2"/>
      <c r="F14" s="4"/>
      <c r="G14" s="4" t="str">
        <f t="shared" si="2"/>
        <v/>
      </c>
      <c r="H14" s="4"/>
      <c r="I14" s="2" t="str">
        <f t="shared" ca="1" si="0"/>
        <v/>
      </c>
      <c r="J14" s="3"/>
    </row>
    <row r="15" spans="1:10" x14ac:dyDescent="0.3">
      <c r="A15" s="19" t="str">
        <f t="shared" si="1"/>
        <v/>
      </c>
      <c r="B15" s="2"/>
      <c r="C15" s="2"/>
      <c r="D15" s="2"/>
      <c r="E15" s="2"/>
      <c r="F15" s="4"/>
      <c r="G15" s="4" t="str">
        <f t="shared" si="2"/>
        <v/>
      </c>
      <c r="H15" s="4"/>
      <c r="I15" s="2" t="str">
        <f t="shared" ca="1" si="0"/>
        <v/>
      </c>
      <c r="J15" s="3"/>
    </row>
    <row r="16" spans="1:10" x14ac:dyDescent="0.3">
      <c r="A16" s="19" t="str">
        <f t="shared" si="1"/>
        <v/>
      </c>
      <c r="B16" s="2"/>
      <c r="C16" s="2"/>
      <c r="D16" s="2"/>
      <c r="E16" s="2"/>
      <c r="F16" s="4"/>
      <c r="G16" s="4" t="str">
        <f t="shared" si="2"/>
        <v/>
      </c>
      <c r="H16" s="4"/>
      <c r="I16" s="2" t="str">
        <f t="shared" ca="1" si="0"/>
        <v/>
      </c>
      <c r="J16" s="3"/>
    </row>
    <row r="17" spans="1:10" x14ac:dyDescent="0.3">
      <c r="A17" s="19" t="str">
        <f t="shared" si="1"/>
        <v/>
      </c>
      <c r="B17" s="2"/>
      <c r="C17" s="2"/>
      <c r="D17" s="2"/>
      <c r="E17" s="2"/>
      <c r="F17" s="4"/>
      <c r="G17" s="4" t="str">
        <f t="shared" si="2"/>
        <v/>
      </c>
      <c r="H17" s="4"/>
      <c r="I17" s="2" t="str">
        <f t="shared" ca="1" si="0"/>
        <v/>
      </c>
      <c r="J17" s="3"/>
    </row>
    <row r="18" spans="1:10" x14ac:dyDescent="0.3">
      <c r="A18" s="19" t="str">
        <f t="shared" si="1"/>
        <v/>
      </c>
      <c r="B18" s="2"/>
      <c r="C18" s="2"/>
      <c r="D18" s="2"/>
      <c r="E18" s="2"/>
      <c r="F18" s="4"/>
      <c r="G18" s="4" t="str">
        <f t="shared" si="2"/>
        <v/>
      </c>
      <c r="H18" s="4"/>
      <c r="I18" s="2" t="str">
        <f t="shared" ca="1" si="0"/>
        <v/>
      </c>
      <c r="J18" s="3"/>
    </row>
    <row r="19" spans="1:10" x14ac:dyDescent="0.3">
      <c r="A19" s="19" t="str">
        <f t="shared" si="1"/>
        <v/>
      </c>
      <c r="B19" s="2"/>
      <c r="C19" s="2"/>
      <c r="D19" s="2"/>
      <c r="E19" s="2"/>
      <c r="F19" s="4"/>
      <c r="G19" s="4" t="str">
        <f t="shared" si="2"/>
        <v/>
      </c>
      <c r="H19" s="4"/>
      <c r="I19" s="2" t="str">
        <f t="shared" ca="1" si="0"/>
        <v/>
      </c>
      <c r="J19" s="3"/>
    </row>
    <row r="20" spans="1:10" x14ac:dyDescent="0.3">
      <c r="A20" s="19" t="str">
        <f t="shared" si="1"/>
        <v/>
      </c>
      <c r="B20" s="2"/>
      <c r="C20" s="2"/>
      <c r="D20" s="2"/>
      <c r="E20" s="2"/>
      <c r="F20" s="4"/>
      <c r="G20" s="4" t="str">
        <f t="shared" si="2"/>
        <v/>
      </c>
      <c r="H20" s="4"/>
      <c r="I20" s="2" t="str">
        <f t="shared" ca="1" si="0"/>
        <v/>
      </c>
      <c r="J20" s="3"/>
    </row>
    <row r="21" spans="1:10" x14ac:dyDescent="0.3">
      <c r="A21" s="19" t="str">
        <f t="shared" si="1"/>
        <v/>
      </c>
      <c r="B21" s="2"/>
      <c r="C21" s="2"/>
      <c r="D21" s="2"/>
      <c r="E21" s="2"/>
      <c r="F21" s="4"/>
      <c r="G21" s="4" t="str">
        <f t="shared" si="2"/>
        <v/>
      </c>
      <c r="H21" s="4"/>
      <c r="I21" s="2" t="str">
        <f t="shared" ca="1" si="0"/>
        <v/>
      </c>
      <c r="J21" s="3"/>
    </row>
    <row r="22" spans="1:10" x14ac:dyDescent="0.3">
      <c r="A22" s="19" t="str">
        <f t="shared" si="1"/>
        <v/>
      </c>
      <c r="B22" s="2"/>
      <c r="C22" s="2"/>
      <c r="D22" s="2"/>
      <c r="E22" s="2"/>
      <c r="F22" s="4"/>
      <c r="G22" s="4" t="str">
        <f t="shared" si="2"/>
        <v/>
      </c>
      <c r="H22" s="4"/>
      <c r="I22" s="2" t="str">
        <f t="shared" ca="1" si="0"/>
        <v/>
      </c>
      <c r="J22" s="3"/>
    </row>
    <row r="23" spans="1:10" x14ac:dyDescent="0.3">
      <c r="A23" s="19" t="str">
        <f t="shared" si="1"/>
        <v/>
      </c>
      <c r="B23" s="2"/>
      <c r="C23" s="2"/>
      <c r="D23" s="2"/>
      <c r="E23" s="2"/>
      <c r="F23" s="4"/>
      <c r="G23" s="4" t="str">
        <f t="shared" si="2"/>
        <v/>
      </c>
      <c r="H23" s="4"/>
      <c r="I23" s="2" t="str">
        <f t="shared" ca="1" si="0"/>
        <v/>
      </c>
      <c r="J23" s="3"/>
    </row>
    <row r="24" spans="1:10" x14ac:dyDescent="0.3">
      <c r="A24" s="19" t="str">
        <f t="shared" si="1"/>
        <v/>
      </c>
      <c r="B24" s="2"/>
      <c r="C24" s="2"/>
      <c r="D24" s="2"/>
      <c r="E24" s="2"/>
      <c r="F24" s="4"/>
      <c r="G24" s="4" t="str">
        <f t="shared" si="2"/>
        <v/>
      </c>
      <c r="H24" s="4"/>
      <c r="I24" s="2" t="str">
        <f t="shared" ca="1" si="0"/>
        <v/>
      </c>
      <c r="J24" s="3"/>
    </row>
    <row r="25" spans="1:10" x14ac:dyDescent="0.3">
      <c r="A25" s="19" t="str">
        <f t="shared" si="1"/>
        <v/>
      </c>
      <c r="B25" s="2"/>
      <c r="C25" s="2"/>
      <c r="D25" s="2"/>
      <c r="E25" s="2"/>
      <c r="F25" s="4"/>
      <c r="G25" s="4" t="str">
        <f t="shared" si="2"/>
        <v/>
      </c>
      <c r="H25" s="4"/>
      <c r="I25" s="2" t="str">
        <f t="shared" ca="1" si="0"/>
        <v/>
      </c>
      <c r="J25" s="3"/>
    </row>
    <row r="26" spans="1:10" x14ac:dyDescent="0.3">
      <c r="A26" s="19" t="str">
        <f t="shared" si="1"/>
        <v/>
      </c>
      <c r="B26" s="2"/>
      <c r="C26" s="2"/>
      <c r="D26" s="2"/>
      <c r="E26" s="2"/>
      <c r="F26" s="4"/>
      <c r="G26" s="4" t="str">
        <f t="shared" si="2"/>
        <v/>
      </c>
      <c r="H26" s="4"/>
      <c r="I26" s="2" t="str">
        <f t="shared" ca="1" si="0"/>
        <v/>
      </c>
      <c r="J26" s="3"/>
    </row>
    <row r="27" spans="1:10" x14ac:dyDescent="0.3">
      <c r="A27" s="19" t="str">
        <f t="shared" si="1"/>
        <v/>
      </c>
      <c r="B27" s="2"/>
      <c r="C27" s="2"/>
      <c r="D27" s="2"/>
      <c r="E27" s="2"/>
      <c r="F27" s="4"/>
      <c r="G27" s="4" t="str">
        <f t="shared" si="2"/>
        <v/>
      </c>
      <c r="H27" s="4"/>
      <c r="I27" s="2" t="str">
        <f t="shared" ca="1" si="0"/>
        <v/>
      </c>
      <c r="J27" s="3"/>
    </row>
    <row r="28" spans="1:10" x14ac:dyDescent="0.3">
      <c r="A28" s="19" t="str">
        <f t="shared" si="1"/>
        <v/>
      </c>
      <c r="B28" s="2"/>
      <c r="C28" s="2"/>
      <c r="D28" s="2"/>
      <c r="E28" s="2"/>
      <c r="F28" s="4"/>
      <c r="G28" s="4" t="str">
        <f t="shared" si="2"/>
        <v/>
      </c>
      <c r="H28" s="4"/>
      <c r="I28" s="2" t="str">
        <f t="shared" ca="1" si="0"/>
        <v/>
      </c>
      <c r="J28" s="3"/>
    </row>
    <row r="29" spans="1:10" x14ac:dyDescent="0.3">
      <c r="A29" s="19" t="str">
        <f t="shared" si="1"/>
        <v/>
      </c>
      <c r="B29" s="2"/>
      <c r="C29" s="2"/>
      <c r="D29" s="2"/>
      <c r="E29" s="2"/>
      <c r="F29" s="4"/>
      <c r="G29" s="4" t="str">
        <f t="shared" si="2"/>
        <v/>
      </c>
      <c r="H29" s="4"/>
      <c r="I29" s="2" t="str">
        <f t="shared" ca="1" si="0"/>
        <v/>
      </c>
      <c r="J29" s="3"/>
    </row>
    <row r="30" spans="1:10" x14ac:dyDescent="0.3">
      <c r="A30" s="19" t="str">
        <f t="shared" si="1"/>
        <v/>
      </c>
      <c r="B30" s="2"/>
      <c r="C30" s="2"/>
      <c r="D30" s="2"/>
      <c r="E30" s="2"/>
      <c r="F30" s="4"/>
      <c r="G30" s="4" t="str">
        <f t="shared" si="2"/>
        <v/>
      </c>
      <c r="H30" s="4"/>
      <c r="I30" s="2" t="str">
        <f t="shared" ca="1" si="0"/>
        <v/>
      </c>
      <c r="J30" s="3"/>
    </row>
    <row r="31" spans="1:10" x14ac:dyDescent="0.3">
      <c r="A31" s="19" t="str">
        <f t="shared" si="1"/>
        <v/>
      </c>
      <c r="B31" s="2"/>
      <c r="C31" s="2"/>
      <c r="D31" s="2"/>
      <c r="E31" s="2"/>
      <c r="F31" s="4"/>
      <c r="G31" s="4" t="str">
        <f t="shared" si="2"/>
        <v/>
      </c>
      <c r="H31" s="4"/>
      <c r="I31" s="2" t="str">
        <f t="shared" ca="1" si="0"/>
        <v/>
      </c>
      <c r="J31" s="3"/>
    </row>
    <row r="32" spans="1:10" x14ac:dyDescent="0.3">
      <c r="A32" s="19" t="str">
        <f t="shared" si="1"/>
        <v/>
      </c>
      <c r="B32" s="2"/>
      <c r="C32" s="2"/>
      <c r="D32" s="2"/>
      <c r="E32" s="2"/>
      <c r="F32" s="4"/>
      <c r="G32" s="4" t="str">
        <f t="shared" si="2"/>
        <v/>
      </c>
      <c r="H32" s="4"/>
      <c r="I32" s="2" t="str">
        <f t="shared" ca="1" si="0"/>
        <v/>
      </c>
      <c r="J32" s="3"/>
    </row>
    <row r="33" spans="1:10" x14ac:dyDescent="0.3">
      <c r="A33" s="19" t="str">
        <f t="shared" si="1"/>
        <v/>
      </c>
      <c r="B33" s="2"/>
      <c r="C33" s="2"/>
      <c r="D33" s="2"/>
      <c r="E33" s="2"/>
      <c r="F33" s="4"/>
      <c r="G33" s="4" t="str">
        <f t="shared" si="2"/>
        <v/>
      </c>
      <c r="H33" s="4"/>
      <c r="I33" s="2" t="str">
        <f t="shared" ca="1" si="0"/>
        <v/>
      </c>
      <c r="J33" s="3"/>
    </row>
    <row r="34" spans="1:10" x14ac:dyDescent="0.3">
      <c r="A34" s="19" t="str">
        <f t="shared" si="1"/>
        <v/>
      </c>
      <c r="B34" s="2"/>
      <c r="C34" s="2"/>
      <c r="D34" s="2"/>
      <c r="E34" s="2"/>
      <c r="F34" s="4"/>
      <c r="G34" s="4" t="str">
        <f t="shared" si="2"/>
        <v/>
      </c>
      <c r="H34" s="4"/>
      <c r="I34" s="2" t="str">
        <f t="shared" ca="1" si="0"/>
        <v/>
      </c>
      <c r="J34" s="3"/>
    </row>
    <row r="35" spans="1:10" x14ac:dyDescent="0.3">
      <c r="A35" s="19" t="str">
        <f t="shared" si="1"/>
        <v/>
      </c>
      <c r="B35" s="2"/>
      <c r="C35" s="2"/>
      <c r="D35" s="2"/>
      <c r="E35" s="2"/>
      <c r="F35" s="4"/>
      <c r="G35" s="4" t="str">
        <f t="shared" si="2"/>
        <v/>
      </c>
      <c r="H35" s="4"/>
      <c r="I35" s="2" t="str">
        <f t="shared" ca="1" si="0"/>
        <v/>
      </c>
      <c r="J35" s="3"/>
    </row>
    <row r="36" spans="1:10" x14ac:dyDescent="0.3">
      <c r="A36" s="19" t="str">
        <f t="shared" si="1"/>
        <v/>
      </c>
      <c r="B36" s="2"/>
      <c r="C36" s="2"/>
      <c r="D36" s="2"/>
      <c r="E36" s="2"/>
      <c r="F36" s="4"/>
      <c r="G36" s="4" t="str">
        <f t="shared" si="2"/>
        <v/>
      </c>
      <c r="H36" s="4"/>
      <c r="I36" s="2" t="str">
        <f t="shared" ca="1" si="0"/>
        <v/>
      </c>
      <c r="J36" s="3"/>
    </row>
    <row r="37" spans="1:10" x14ac:dyDescent="0.3">
      <c r="A37" s="19" t="str">
        <f t="shared" si="1"/>
        <v/>
      </c>
      <c r="B37" s="2"/>
      <c r="C37" s="2"/>
      <c r="D37" s="2"/>
      <c r="E37" s="2"/>
      <c r="F37" s="4"/>
      <c r="G37" s="4" t="str">
        <f t="shared" si="2"/>
        <v/>
      </c>
      <c r="H37" s="4"/>
      <c r="I37" s="2" t="str">
        <f t="shared" ca="1" si="0"/>
        <v/>
      </c>
      <c r="J37" s="3"/>
    </row>
    <row r="38" spans="1:10" x14ac:dyDescent="0.3">
      <c r="A38" s="19" t="str">
        <f t="shared" si="1"/>
        <v/>
      </c>
      <c r="B38" s="2"/>
      <c r="C38" s="2"/>
      <c r="D38" s="2"/>
      <c r="E38" s="2"/>
      <c r="F38" s="4"/>
      <c r="G38" s="4" t="str">
        <f t="shared" si="2"/>
        <v/>
      </c>
      <c r="H38" s="4"/>
      <c r="I38" s="2" t="str">
        <f t="shared" ca="1" si="0"/>
        <v/>
      </c>
      <c r="J38" s="3"/>
    </row>
    <row r="39" spans="1:10" x14ac:dyDescent="0.3">
      <c r="A39" s="19" t="str">
        <f t="shared" si="1"/>
        <v/>
      </c>
      <c r="B39" s="2"/>
      <c r="C39" s="2"/>
      <c r="D39" s="2"/>
      <c r="E39" s="2"/>
      <c r="F39" s="4"/>
      <c r="G39" s="4" t="str">
        <f t="shared" si="2"/>
        <v/>
      </c>
      <c r="H39" s="4"/>
      <c r="I39" s="2" t="str">
        <f t="shared" ca="1" si="0"/>
        <v/>
      </c>
      <c r="J39" s="3"/>
    </row>
    <row r="40" spans="1:10" x14ac:dyDescent="0.3">
      <c r="A40" s="19" t="str">
        <f t="shared" si="1"/>
        <v/>
      </c>
      <c r="B40" s="2"/>
      <c r="C40" s="2"/>
      <c r="D40" s="2"/>
      <c r="E40" s="2"/>
      <c r="F40" s="4"/>
      <c r="G40" s="4" t="str">
        <f t="shared" si="2"/>
        <v/>
      </c>
      <c r="H40" s="4"/>
      <c r="I40" s="2" t="str">
        <f t="shared" ca="1" si="0"/>
        <v/>
      </c>
      <c r="J40" s="3"/>
    </row>
    <row r="41" spans="1:10" x14ac:dyDescent="0.3">
      <c r="A41" s="19" t="str">
        <f t="shared" si="1"/>
        <v/>
      </c>
      <c r="B41" s="2"/>
      <c r="C41" s="2"/>
      <c r="D41" s="2"/>
      <c r="E41" s="2"/>
      <c r="F41" s="4"/>
      <c r="G41" s="4" t="str">
        <f t="shared" si="2"/>
        <v/>
      </c>
      <c r="H41" s="4"/>
      <c r="I41" s="2" t="str">
        <f t="shared" ca="1" si="0"/>
        <v/>
      </c>
      <c r="J41" s="3"/>
    </row>
    <row r="42" spans="1:10" x14ac:dyDescent="0.3">
      <c r="A42" s="19" t="str">
        <f t="shared" si="1"/>
        <v/>
      </c>
      <c r="B42" s="2"/>
      <c r="C42" s="2"/>
      <c r="D42" s="2"/>
      <c r="E42" s="2"/>
      <c r="F42" s="4"/>
      <c r="G42" s="4" t="str">
        <f t="shared" si="2"/>
        <v/>
      </c>
      <c r="H42" s="4"/>
      <c r="I42" s="2" t="str">
        <f t="shared" ca="1" si="0"/>
        <v/>
      </c>
      <c r="J42" s="3"/>
    </row>
    <row r="43" spans="1:10" x14ac:dyDescent="0.3">
      <c r="A43" s="19" t="str">
        <f t="shared" si="1"/>
        <v/>
      </c>
      <c r="B43" s="2"/>
      <c r="C43" s="2"/>
      <c r="D43" s="2"/>
      <c r="E43" s="2"/>
      <c r="F43" s="4"/>
      <c r="G43" s="4" t="str">
        <f t="shared" si="2"/>
        <v/>
      </c>
      <c r="H43" s="4"/>
      <c r="I43" s="2" t="str">
        <f t="shared" ca="1" si="0"/>
        <v/>
      </c>
      <c r="J43" s="3"/>
    </row>
    <row r="44" spans="1:10" x14ac:dyDescent="0.3">
      <c r="A44" s="19" t="str">
        <f t="shared" si="1"/>
        <v/>
      </c>
      <c r="B44" s="2"/>
      <c r="C44" s="2"/>
      <c r="D44" s="2"/>
      <c r="E44" s="2"/>
      <c r="F44" s="4"/>
      <c r="G44" s="4" t="str">
        <f t="shared" si="2"/>
        <v/>
      </c>
      <c r="H44" s="4"/>
      <c r="I44" s="2" t="str">
        <f t="shared" ca="1" si="0"/>
        <v/>
      </c>
      <c r="J44" s="3"/>
    </row>
    <row r="45" spans="1:10" x14ac:dyDescent="0.3">
      <c r="A45" s="19" t="str">
        <f t="shared" si="1"/>
        <v/>
      </c>
      <c r="B45" s="2"/>
      <c r="C45" s="2"/>
      <c r="D45" s="2"/>
      <c r="E45" s="2"/>
      <c r="F45" s="4"/>
      <c r="G45" s="4" t="str">
        <f t="shared" si="2"/>
        <v/>
      </c>
      <c r="H45" s="4"/>
      <c r="I45" s="2" t="str">
        <f t="shared" ca="1" si="0"/>
        <v/>
      </c>
      <c r="J45" s="3"/>
    </row>
    <row r="46" spans="1:10" x14ac:dyDescent="0.3">
      <c r="A46" s="19" t="str">
        <f t="shared" si="1"/>
        <v/>
      </c>
      <c r="B46" s="2"/>
      <c r="C46" s="2"/>
      <c r="D46" s="2"/>
      <c r="E46" s="2"/>
      <c r="F46" s="4"/>
      <c r="G46" s="4" t="str">
        <f t="shared" si="2"/>
        <v/>
      </c>
      <c r="H46" s="4"/>
      <c r="I46" s="2" t="str">
        <f t="shared" ca="1" si="0"/>
        <v/>
      </c>
      <c r="J46" s="3"/>
    </row>
    <row r="47" spans="1:10" x14ac:dyDescent="0.3">
      <c r="A47" s="19" t="str">
        <f t="shared" si="1"/>
        <v/>
      </c>
      <c r="B47" s="2"/>
      <c r="C47" s="2"/>
      <c r="D47" s="2"/>
      <c r="E47" s="2"/>
      <c r="F47" s="4"/>
      <c r="G47" s="4" t="str">
        <f t="shared" si="2"/>
        <v/>
      </c>
      <c r="H47" s="4"/>
      <c r="I47" s="2" t="str">
        <f t="shared" ca="1" si="0"/>
        <v/>
      </c>
      <c r="J47" s="3"/>
    </row>
    <row r="48" spans="1:10" x14ac:dyDescent="0.3">
      <c r="A48" s="19" t="str">
        <f t="shared" si="1"/>
        <v/>
      </c>
      <c r="B48" s="2"/>
      <c r="C48" s="2"/>
      <c r="D48" s="2"/>
      <c r="E48" s="2"/>
      <c r="F48" s="4"/>
      <c r="G48" s="4" t="str">
        <f t="shared" si="2"/>
        <v/>
      </c>
      <c r="H48" s="4"/>
      <c r="I48" s="2" t="str">
        <f t="shared" ca="1" si="0"/>
        <v/>
      </c>
      <c r="J48" s="3"/>
    </row>
    <row r="49" spans="1:10" x14ac:dyDescent="0.3">
      <c r="A49" s="19" t="str">
        <f t="shared" si="1"/>
        <v/>
      </c>
      <c r="B49" s="2"/>
      <c r="C49" s="2"/>
      <c r="D49" s="2"/>
      <c r="E49" s="2"/>
      <c r="F49" s="4"/>
      <c r="G49" s="4" t="str">
        <f t="shared" si="2"/>
        <v/>
      </c>
      <c r="H49" s="4"/>
      <c r="I49" s="2" t="str">
        <f t="shared" ca="1" si="0"/>
        <v/>
      </c>
      <c r="J49" s="3"/>
    </row>
    <row r="50" spans="1:10" x14ac:dyDescent="0.3">
      <c r="A50" s="19" t="str">
        <f t="shared" si="1"/>
        <v/>
      </c>
      <c r="B50" s="2"/>
      <c r="C50" s="2"/>
      <c r="D50" s="2"/>
      <c r="E50" s="2"/>
      <c r="F50" s="4"/>
      <c r="G50" s="4" t="str">
        <f t="shared" si="2"/>
        <v/>
      </c>
      <c r="H50" s="4"/>
      <c r="I50" s="2" t="str">
        <f t="shared" ca="1" si="0"/>
        <v/>
      </c>
      <c r="J50" s="3"/>
    </row>
    <row r="51" spans="1:10" x14ac:dyDescent="0.3">
      <c r="B51" s="13"/>
      <c r="C51" s="13"/>
      <c r="D51" s="13"/>
      <c r="E51" s="13"/>
      <c r="F51" s="15"/>
      <c r="G51" s="15"/>
      <c r="H51" s="15"/>
      <c r="I51" s="13"/>
      <c r="J51" s="14"/>
    </row>
    <row r="54" spans="1:10" x14ac:dyDescent="0.3">
      <c r="B54" s="5"/>
    </row>
  </sheetData>
  <mergeCells count="2">
    <mergeCell ref="A1:J1"/>
    <mergeCell ref="A2:J2"/>
  </mergeCells>
  <phoneticPr fontId="10" type="noConversion"/>
  <conditionalFormatting sqref="I5:I51">
    <cfRule type="cellIs" dxfId="2" priority="2" operator="equal">
      <formula>"Emprestado"</formula>
    </cfRule>
    <cfRule type="cellIs" dxfId="1" priority="3" operator="equal">
      <formula>"Devolvido"</formula>
    </cfRule>
    <cfRule type="cellIs" dxfId="0" priority="4" operator="equal">
      <formula>"Atrasado"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showGridLines="0" zoomScaleNormal="100" workbookViewId="0">
      <selection activeCell="A2" sqref="A1:A1048576"/>
    </sheetView>
  </sheetViews>
  <sheetFormatPr defaultColWidth="8.6640625" defaultRowHeight="14.4" x14ac:dyDescent="0.3"/>
  <cols>
    <col min="1" max="1" width="32" customWidth="1"/>
    <col min="2" max="2" width="14" customWidth="1"/>
  </cols>
  <sheetData>
    <row r="1" spans="1:4" ht="19.649999999999999" customHeight="1" x14ac:dyDescent="0.3">
      <c r="A1" s="16" t="s">
        <v>11</v>
      </c>
      <c r="B1" s="16"/>
      <c r="C1" s="16"/>
      <c r="D1" s="16"/>
    </row>
    <row r="3" spans="1:4" ht="15.6" x14ac:dyDescent="0.3">
      <c r="A3" s="6" t="s">
        <v>12</v>
      </c>
      <c r="B3" s="7">
        <f>COUNTA(Controle!C5:C50)</f>
        <v>1</v>
      </c>
    </row>
    <row r="4" spans="1:4" ht="15.6" x14ac:dyDescent="0.3">
      <c r="A4" s="6" t="s">
        <v>13</v>
      </c>
      <c r="B4" s="8">
        <f ca="1">COUNTIF(Controle!I5:I50,"Emprestado")</f>
        <v>1</v>
      </c>
    </row>
    <row r="5" spans="1:4" ht="15.6" x14ac:dyDescent="0.3">
      <c r="A5" s="6" t="s">
        <v>14</v>
      </c>
      <c r="B5" s="9">
        <f ca="1">COUNTIF(Controle!I5:I50,"Devolvido")</f>
        <v>0</v>
      </c>
    </row>
    <row r="6" spans="1:4" ht="15.6" x14ac:dyDescent="0.3">
      <c r="A6" s="6" t="s">
        <v>15</v>
      </c>
      <c r="B6" s="20">
        <f ca="1">COUNTIF(Controle!I5:I50,"Atrasado")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9"/>
  <sheetViews>
    <sheetView showGridLines="0" topLeftCell="A19" zoomScaleNormal="100" workbookViewId="0">
      <selection activeCell="A16" sqref="A16"/>
    </sheetView>
  </sheetViews>
  <sheetFormatPr defaultColWidth="8.6640625" defaultRowHeight="14.4" x14ac:dyDescent="0.3"/>
  <cols>
    <col min="1" max="1" width="100" customWidth="1"/>
  </cols>
  <sheetData>
    <row r="1" spans="1:1" ht="16.8" x14ac:dyDescent="0.3">
      <c r="A1" s="10" t="s">
        <v>16</v>
      </c>
    </row>
    <row r="2" spans="1:1" x14ac:dyDescent="0.3">
      <c r="A2" s="11"/>
    </row>
    <row r="3" spans="1:1" x14ac:dyDescent="0.3">
      <c r="A3" s="12" t="s">
        <v>17</v>
      </c>
    </row>
    <row r="4" spans="1:1" x14ac:dyDescent="0.3">
      <c r="A4" s="11" t="s">
        <v>18</v>
      </c>
    </row>
    <row r="5" spans="1:1" x14ac:dyDescent="0.3">
      <c r="A5" s="11" t="s">
        <v>19</v>
      </c>
    </row>
    <row r="6" spans="1:1" x14ac:dyDescent="0.3">
      <c r="A6" s="11" t="s">
        <v>20</v>
      </c>
    </row>
    <row r="7" spans="1:1" x14ac:dyDescent="0.3">
      <c r="A7" s="11" t="s">
        <v>21</v>
      </c>
    </row>
    <row r="8" spans="1:1" x14ac:dyDescent="0.3">
      <c r="A8" s="11" t="s">
        <v>22</v>
      </c>
    </row>
    <row r="9" spans="1:1" x14ac:dyDescent="0.3">
      <c r="A9" s="11" t="s">
        <v>23</v>
      </c>
    </row>
    <row r="10" spans="1:1" x14ac:dyDescent="0.3">
      <c r="A10" s="11" t="s">
        <v>24</v>
      </c>
    </row>
    <row r="11" spans="1:1" x14ac:dyDescent="0.3">
      <c r="A11" s="11"/>
    </row>
    <row r="12" spans="1:1" x14ac:dyDescent="0.3">
      <c r="A12" s="12" t="s">
        <v>25</v>
      </c>
    </row>
    <row r="13" spans="1:1" x14ac:dyDescent="0.3">
      <c r="A13" s="11" t="s">
        <v>26</v>
      </c>
    </row>
    <row r="14" spans="1:1" x14ac:dyDescent="0.3">
      <c r="A14" s="11" t="s">
        <v>27</v>
      </c>
    </row>
    <row r="15" spans="1:1" x14ac:dyDescent="0.3">
      <c r="A15" s="11" t="s">
        <v>28</v>
      </c>
    </row>
    <row r="16" spans="1:1" x14ac:dyDescent="0.3">
      <c r="A16" s="11"/>
    </row>
    <row r="17" spans="1:1" x14ac:dyDescent="0.3">
      <c r="A17" s="12" t="s">
        <v>29</v>
      </c>
    </row>
    <row r="18" spans="1:1" x14ac:dyDescent="0.3">
      <c r="A18" s="11" t="s">
        <v>30</v>
      </c>
    </row>
    <row r="19" spans="1:1" x14ac:dyDescent="0.3">
      <c r="A19" s="11" t="s">
        <v>31</v>
      </c>
    </row>
    <row r="20" spans="1:1" x14ac:dyDescent="0.3">
      <c r="A20" s="11" t="s">
        <v>32</v>
      </c>
    </row>
    <row r="21" spans="1:1" x14ac:dyDescent="0.3">
      <c r="A21" s="11"/>
    </row>
    <row r="22" spans="1:1" x14ac:dyDescent="0.3">
      <c r="A22" s="12" t="s">
        <v>33</v>
      </c>
    </row>
    <row r="23" spans="1:1" x14ac:dyDescent="0.3">
      <c r="A23" s="11" t="s">
        <v>34</v>
      </c>
    </row>
    <row r="24" spans="1:1" x14ac:dyDescent="0.3">
      <c r="A24" s="11"/>
    </row>
    <row r="25" spans="1:1" x14ac:dyDescent="0.3">
      <c r="A25" s="12" t="s">
        <v>35</v>
      </c>
    </row>
    <row r="26" spans="1:1" x14ac:dyDescent="0.3">
      <c r="A26" s="11" t="s">
        <v>36</v>
      </c>
    </row>
    <row r="27" spans="1:1" x14ac:dyDescent="0.3">
      <c r="A27" s="11" t="s">
        <v>37</v>
      </c>
    </row>
    <row r="28" spans="1:1" x14ac:dyDescent="0.3">
      <c r="A28" s="11" t="s">
        <v>38</v>
      </c>
    </row>
    <row r="29" spans="1:1" x14ac:dyDescent="0.3">
      <c r="A29" s="11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Controle</vt:lpstr>
      <vt:lpstr>Painel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Suportec</cp:lastModifiedBy>
  <cp:revision>0</cp:revision>
  <dcterms:created xsi:type="dcterms:W3CDTF">2026-08-24T18:17:12Z</dcterms:created>
  <dcterms:modified xsi:type="dcterms:W3CDTF">2026-08-25T16:55:08Z</dcterms:modified>
  <dc:language>en-US</dc:language>
</cp:coreProperties>
</file>